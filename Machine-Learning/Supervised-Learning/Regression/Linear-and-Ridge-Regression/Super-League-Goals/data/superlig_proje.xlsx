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ih\OneDrive\Belgeler\"/>
    </mc:Choice>
  </mc:AlternateContent>
  <xr:revisionPtr revIDLastSave="0" documentId="13_ncr:1_{3BE3735D-0C4C-4079-8B46-09627B48355E}" xr6:coauthVersionLast="47" xr6:coauthVersionMax="47" xr10:uidLastSave="{00000000-0000-0000-0000-000000000000}"/>
  <bookViews>
    <workbookView xWindow="-108" yWindow="-108" windowWidth="23256" windowHeight="12456" xr2:uid="{F2DA6DED-F1E8-4652-8543-083AF0CD756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M18" i="1"/>
  <c r="M17" i="1"/>
  <c r="M16" i="1"/>
  <c r="M15" i="1"/>
  <c r="M14" i="1"/>
  <c r="M13" i="1"/>
  <c r="M12" i="1"/>
  <c r="M11" i="1"/>
  <c r="M10" i="1"/>
  <c r="M8" i="1"/>
  <c r="M7" i="1"/>
  <c r="M6" i="1"/>
  <c r="M5" i="1"/>
  <c r="M4" i="1"/>
  <c r="M3" i="1"/>
  <c r="M2" i="1"/>
  <c r="M9" i="1"/>
</calcChain>
</file>

<file path=xl/sharedStrings.xml><?xml version="1.0" encoding="utf-8"?>
<sst xmlns="http://schemas.openxmlformats.org/spreadsheetml/2006/main" count="290" uniqueCount="222">
  <si>
    <t>Takim_Adi</t>
  </si>
  <si>
    <t>Topa_Sahip_Olma</t>
  </si>
  <si>
    <t>xG_Gol_Beklentisi</t>
  </si>
  <si>
    <t>Sut_Sayisi</t>
  </si>
  <si>
    <t>Basarili_Dripling</t>
  </si>
  <si>
    <t>Pas_Arasi</t>
  </si>
  <si>
    <t>Top_Calma</t>
  </si>
  <si>
    <t>Atilan_Gol</t>
  </si>
  <si>
    <t>Yenilen_Gol</t>
  </si>
  <si>
    <t>Galatasaray</t>
  </si>
  <si>
    <t>Samsunspor</t>
  </si>
  <si>
    <t>Alanyaspor</t>
  </si>
  <si>
    <t>48.5</t>
  </si>
  <si>
    <t>Antalyaspor</t>
  </si>
  <si>
    <t>43.6</t>
  </si>
  <si>
    <t>Başakşehir</t>
  </si>
  <si>
    <t>55.3</t>
  </si>
  <si>
    <t>Beşiktaş</t>
  </si>
  <si>
    <t>52.5</t>
  </si>
  <si>
    <t>Eyüpspor</t>
  </si>
  <si>
    <t>50.9</t>
  </si>
  <si>
    <t>Fatih Karagümrük</t>
  </si>
  <si>
    <t>47.6</t>
  </si>
  <si>
    <t>Fenerbahçe</t>
  </si>
  <si>
    <t>28.2</t>
  </si>
  <si>
    <t>59.0</t>
  </si>
  <si>
    <t>62.1</t>
  </si>
  <si>
    <t>Gaziantep FK</t>
  </si>
  <si>
    <t>53.3</t>
  </si>
  <si>
    <t>Gençlerbirliği</t>
  </si>
  <si>
    <t>40.5</t>
  </si>
  <si>
    <t>Göztepe</t>
  </si>
  <si>
    <t>25.8</t>
  </si>
  <si>
    <t>38.5</t>
  </si>
  <si>
    <t>Kasımpaşa</t>
  </si>
  <si>
    <t>44.4</t>
  </si>
  <si>
    <t>Kayserispor</t>
  </si>
  <si>
    <t>48.0</t>
  </si>
  <si>
    <t>Kocaelispor</t>
  </si>
  <si>
    <t>49.9</t>
  </si>
  <si>
    <t>Konyaspor</t>
  </si>
  <si>
    <t>52.8</t>
  </si>
  <si>
    <t>Rizespor</t>
  </si>
  <si>
    <t>49.1</t>
  </si>
  <si>
    <t>51.2</t>
  </si>
  <si>
    <t>Trabzonspor</t>
  </si>
  <si>
    <t>54.2</t>
  </si>
  <si>
    <t>34.5</t>
  </si>
  <si>
    <t>25.1</t>
  </si>
  <si>
    <t>7.8</t>
  </si>
  <si>
    <t>Isabetli_Pas_Sayisi</t>
  </si>
  <si>
    <t>Pas_Isabeti_Yuzde</t>
  </si>
  <si>
    <t>Isabetli_Uzun_Top</t>
  </si>
  <si>
    <t>Isabetli_Orta</t>
  </si>
  <si>
    <t>Isabetli_Sut</t>
  </si>
  <si>
    <t>Buyuk_Sans_Yaratma</t>
  </si>
  <si>
    <t>Korner_Sayisi</t>
  </si>
  <si>
    <t>Rakip_Ceza_Sahasi_Dokunus</t>
  </si>
  <si>
    <t>Uzaklastirma</t>
  </si>
  <si>
    <t>Hucum_Bolgesi_Top_Calma</t>
  </si>
  <si>
    <t>27.1</t>
  </si>
  <si>
    <t>83.2</t>
  </si>
  <si>
    <t>17.1</t>
  </si>
  <si>
    <t>4.8</t>
  </si>
  <si>
    <t>4.7</t>
  </si>
  <si>
    <t>2.2</t>
  </si>
  <si>
    <t>6.5</t>
  </si>
  <si>
    <t>12.2</t>
  </si>
  <si>
    <t>21.4</t>
  </si>
  <si>
    <t>79.6</t>
  </si>
  <si>
    <t>18.8</t>
  </si>
  <si>
    <t>3.3</t>
  </si>
  <si>
    <t>1.2</t>
  </si>
  <si>
    <t>3.9</t>
  </si>
  <si>
    <t>6.1</t>
  </si>
  <si>
    <t>15.8</t>
  </si>
  <si>
    <t>7.0</t>
  </si>
  <si>
    <t>29.4</t>
  </si>
  <si>
    <t>84.4</t>
  </si>
  <si>
    <t>19.6</t>
  </si>
  <si>
    <t>4.6</t>
  </si>
  <si>
    <t>2.1</t>
  </si>
  <si>
    <t>5.3</t>
  </si>
  <si>
    <t>7.6</t>
  </si>
  <si>
    <t>8.5</t>
  </si>
  <si>
    <t>2.8</t>
  </si>
  <si>
    <t>9.1</t>
  </si>
  <si>
    <t>4.2</t>
  </si>
  <si>
    <t>14.7</t>
  </si>
  <si>
    <t>20.4</t>
  </si>
  <si>
    <t>81.9</t>
  </si>
  <si>
    <t>15.9</t>
  </si>
  <si>
    <t>5.1</t>
  </si>
  <si>
    <t>3.6</t>
  </si>
  <si>
    <t>7.3</t>
  </si>
  <si>
    <t>16.0</t>
  </si>
  <si>
    <t>17.6</t>
  </si>
  <si>
    <t>4.3</t>
  </si>
  <si>
    <t>8.2</t>
  </si>
  <si>
    <t>22.1</t>
  </si>
  <si>
    <t>78.3</t>
  </si>
  <si>
    <t>13.7</t>
  </si>
  <si>
    <t>1.5</t>
  </si>
  <si>
    <t>3.7</t>
  </si>
  <si>
    <t>6.2</t>
  </si>
  <si>
    <t>13.2</t>
  </si>
  <si>
    <t>9.7</t>
  </si>
  <si>
    <t>23.1</t>
  </si>
  <si>
    <t>3.4</t>
  </si>
  <si>
    <t>16.8</t>
  </si>
  <si>
    <t>86.3</t>
  </si>
  <si>
    <t>6.3</t>
  </si>
  <si>
    <t>19.0</t>
  </si>
  <si>
    <t>8.4</t>
  </si>
  <si>
    <t>15.5</t>
  </si>
  <si>
    <t>87.3</t>
  </si>
  <si>
    <t>21.6</t>
  </si>
  <si>
    <t>6.9</t>
  </si>
  <si>
    <t>4.9</t>
  </si>
  <si>
    <t>4.1</t>
  </si>
  <si>
    <t>5.7</t>
  </si>
  <si>
    <t>6.7</t>
  </si>
  <si>
    <t>20.8</t>
  </si>
  <si>
    <t>83.3</t>
  </si>
  <si>
    <t>21.2</t>
  </si>
  <si>
    <t>3.5</t>
  </si>
  <si>
    <t>2.3</t>
  </si>
  <si>
    <t>5.2</t>
  </si>
  <si>
    <t>16.1</t>
  </si>
  <si>
    <t>8.6</t>
  </si>
  <si>
    <t>22.8</t>
  </si>
  <si>
    <t>77.8</t>
  </si>
  <si>
    <t>17.2</t>
  </si>
  <si>
    <t>1.9</t>
  </si>
  <si>
    <t>14.5</t>
  </si>
  <si>
    <t>29.6</t>
  </si>
  <si>
    <t>68.7</t>
  </si>
  <si>
    <t>5.6</t>
  </si>
  <si>
    <t>2.4</t>
  </si>
  <si>
    <t>6.8</t>
  </si>
  <si>
    <t>14.9</t>
  </si>
  <si>
    <t>10.6</t>
  </si>
  <si>
    <t>28.5</t>
  </si>
  <si>
    <t>5.0</t>
  </si>
  <si>
    <t>255 </t>
  </si>
  <si>
    <t>77.4</t>
  </si>
  <si>
    <t>15.4</t>
  </si>
  <si>
    <t>8.1</t>
  </si>
  <si>
    <t>21.8</t>
  </si>
  <si>
    <t>4.5</t>
  </si>
  <si>
    <t>2.0</t>
  </si>
  <si>
    <t>80.1</t>
  </si>
  <si>
    <t>20.9 </t>
  </si>
  <si>
    <t>17.7</t>
  </si>
  <si>
    <t>1.8</t>
  </si>
  <si>
    <t>82.6</t>
  </si>
  <si>
    <t>19.4</t>
  </si>
  <si>
    <t>6.0</t>
  </si>
  <si>
    <t>14.8</t>
  </si>
  <si>
    <t>20.1</t>
  </si>
  <si>
    <t>19.9</t>
  </si>
  <si>
    <t>81.6</t>
  </si>
  <si>
    <t>2.6</t>
  </si>
  <si>
    <t>5.8</t>
  </si>
  <si>
    <t>6.4</t>
  </si>
  <si>
    <t>25.2</t>
  </si>
  <si>
    <t>14.6</t>
  </si>
  <si>
    <t>21.9</t>
  </si>
  <si>
    <t>2.7</t>
  </si>
  <si>
    <t>4.4</t>
  </si>
  <si>
    <t>9.8</t>
  </si>
  <si>
    <t>85.1</t>
  </si>
  <si>
    <t>17.3</t>
  </si>
  <si>
    <t>4.0</t>
  </si>
  <si>
    <t>7.9</t>
  </si>
  <si>
    <t>36.7</t>
  </si>
  <si>
    <t>35.1</t>
  </si>
  <si>
    <t>33.5</t>
  </si>
  <si>
    <t>24.4</t>
  </si>
  <si>
    <t>24.3</t>
  </si>
  <si>
    <t>23.5</t>
  </si>
  <si>
    <t>20.6</t>
  </si>
  <si>
    <t>20.3</t>
  </si>
  <si>
    <t>19.1</t>
  </si>
  <si>
    <t>16.5</t>
  </si>
  <si>
    <t>13.9</t>
  </si>
  <si>
    <t>13.0</t>
  </si>
  <si>
    <t>2.9</t>
  </si>
  <si>
    <t>2.5</t>
  </si>
  <si>
    <t>3.8</t>
  </si>
  <si>
    <t>3.2</t>
  </si>
  <si>
    <t>3.0</t>
  </si>
  <si>
    <t>13.5</t>
  </si>
  <si>
    <t>15.2</t>
  </si>
  <si>
    <t>11.9</t>
  </si>
  <si>
    <t>Hava_Kazanilan_Mucadele</t>
  </si>
  <si>
    <t>Zeminde_Kazanilan_Mucadele</t>
  </si>
  <si>
    <t>33.8</t>
  </si>
  <si>
    <t>11.6</t>
  </si>
  <si>
    <t>35.5</t>
  </si>
  <si>
    <t>12.8</t>
  </si>
  <si>
    <t>36.2</t>
  </si>
  <si>
    <t>33.6</t>
  </si>
  <si>
    <t>16.6</t>
  </si>
  <si>
    <t>37.6</t>
  </si>
  <si>
    <t>11.1</t>
  </si>
  <si>
    <t>33.1</t>
  </si>
  <si>
    <t>12.7</t>
  </si>
  <si>
    <t>39.5</t>
  </si>
  <si>
    <t>12.4</t>
  </si>
  <si>
    <t>14.4</t>
  </si>
  <si>
    <t>40.4</t>
  </si>
  <si>
    <t>29.9</t>
  </si>
  <si>
    <t>21.3</t>
  </si>
  <si>
    <t>31.9</t>
  </si>
  <si>
    <t>16.2</t>
  </si>
  <si>
    <t>30.8</t>
  </si>
  <si>
    <t>35.5 </t>
  </si>
  <si>
    <t>32.9 </t>
  </si>
  <si>
    <t>14.0</t>
  </si>
  <si>
    <t>37.4</t>
  </si>
  <si>
    <t>13.4 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</si>
</sst>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46EA-1FE6-41E1-A36E-81C41E4F655A}">
  <dimension ref="A1:U19"/>
  <sheetViews>
    <sheetView tabSelected="1" zoomScale="77" zoomScaleNormal="47" workbookViewId="0">
      <selection activeCell="Q15" sqref="Q15"/>
    </sheetView>
  </sheetViews>
  <sheetFormatPr defaultRowHeight="14.4" x14ac:dyDescent="0.3"/>
  <cols>
    <col min="1" max="1" width="9.44140625" bestFit="1" customWidth="1"/>
    <col min="2" max="2" width="16" bestFit="1" customWidth="1"/>
    <col min="3" max="3" width="16.6640625" bestFit="1" customWidth="1"/>
    <col min="4" max="4" width="16.44140625" bestFit="1" customWidth="1"/>
    <col min="5" max="5" width="16" bestFit="1" customWidth="1"/>
    <col min="6" max="6" width="11.5546875" bestFit="1" customWidth="1"/>
    <col min="7" max="7" width="9.21875" bestFit="1" customWidth="1"/>
    <col min="8" max="8" width="10.5546875" bestFit="1" customWidth="1"/>
    <col min="9" max="9" width="16" bestFit="1" customWidth="1"/>
    <col min="10" max="10" width="19" bestFit="1" customWidth="1"/>
    <col min="11" max="11" width="12.109375" bestFit="1" customWidth="1"/>
    <col min="12" max="12" width="14.5546875" bestFit="1" customWidth="1"/>
    <col min="13" max="13" width="25.44140625" bestFit="1" customWidth="1"/>
    <col min="14" max="14" width="10.33203125" bestFit="1" customWidth="1"/>
    <col min="15" max="15" width="9.21875" bestFit="1" customWidth="1"/>
    <col min="16" max="16" width="11.88671875" bestFit="1" customWidth="1"/>
    <col min="17" max="17" width="13.21875" bestFit="1" customWidth="1"/>
    <col min="18" max="18" width="24.44140625" bestFit="1" customWidth="1"/>
    <col min="19" max="19" width="24.33203125" bestFit="1" customWidth="1"/>
    <col min="20" max="20" width="9.44140625" bestFit="1" customWidth="1"/>
    <col min="21" max="21" width="10.88671875" bestFit="1" customWidth="1"/>
  </cols>
  <sheetData>
    <row r="1" spans="1:21" x14ac:dyDescent="0.3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3</v>
      </c>
      <c r="H1" t="s">
        <v>54</v>
      </c>
      <c r="I1" t="s">
        <v>2</v>
      </c>
      <c r="J1" t="s">
        <v>55</v>
      </c>
      <c r="K1" t="s">
        <v>56</v>
      </c>
      <c r="L1" t="s">
        <v>4</v>
      </c>
      <c r="M1" t="s">
        <v>57</v>
      </c>
      <c r="N1" t="s">
        <v>6</v>
      </c>
      <c r="O1" t="s">
        <v>5</v>
      </c>
      <c r="P1" t="s">
        <v>58</v>
      </c>
      <c r="Q1" t="s">
        <v>59</v>
      </c>
      <c r="R1" t="s">
        <v>196</v>
      </c>
      <c r="S1" t="s">
        <v>195</v>
      </c>
      <c r="T1" t="s">
        <v>7</v>
      </c>
      <c r="U1" t="s">
        <v>8</v>
      </c>
    </row>
    <row r="2" spans="1:21" x14ac:dyDescent="0.3">
      <c r="A2" t="s">
        <v>11</v>
      </c>
      <c r="B2" t="s">
        <v>12</v>
      </c>
      <c r="C2">
        <v>337</v>
      </c>
      <c r="D2" t="s">
        <v>61</v>
      </c>
      <c r="E2" t="s">
        <v>62</v>
      </c>
      <c r="F2" t="s">
        <v>63</v>
      </c>
      <c r="G2">
        <v>206</v>
      </c>
      <c r="H2">
        <v>67</v>
      </c>
      <c r="I2" t="s">
        <v>112</v>
      </c>
      <c r="J2" t="s">
        <v>65</v>
      </c>
      <c r="K2" t="s">
        <v>64</v>
      </c>
      <c r="L2" t="s">
        <v>66</v>
      </c>
      <c r="M2" s="3">
        <f>228/17</f>
        <v>13.411764705882353</v>
      </c>
      <c r="N2" t="s">
        <v>67</v>
      </c>
      <c r="O2" t="s">
        <v>49</v>
      </c>
      <c r="P2" t="s">
        <v>68</v>
      </c>
      <c r="Q2" t="s">
        <v>187</v>
      </c>
      <c r="R2" t="s">
        <v>197</v>
      </c>
      <c r="S2" t="s">
        <v>198</v>
      </c>
      <c r="T2">
        <v>16</v>
      </c>
      <c r="U2">
        <v>15</v>
      </c>
    </row>
    <row r="3" spans="1:21" x14ac:dyDescent="0.3">
      <c r="A3" t="s">
        <v>13</v>
      </c>
      <c r="B3" t="s">
        <v>14</v>
      </c>
      <c r="C3">
        <v>279</v>
      </c>
      <c r="D3" t="s">
        <v>69</v>
      </c>
      <c r="E3" t="s">
        <v>70</v>
      </c>
      <c r="F3" t="s">
        <v>71</v>
      </c>
      <c r="G3">
        <v>142</v>
      </c>
      <c r="H3">
        <v>59</v>
      </c>
      <c r="I3" t="s">
        <v>186</v>
      </c>
      <c r="J3" t="s">
        <v>72</v>
      </c>
      <c r="K3" t="s">
        <v>73</v>
      </c>
      <c r="L3" t="s">
        <v>74</v>
      </c>
      <c r="M3" s="3">
        <f>361/17</f>
        <v>21.235294117647058</v>
      </c>
      <c r="N3" t="s">
        <v>75</v>
      </c>
      <c r="O3" t="s">
        <v>76</v>
      </c>
      <c r="P3" t="s">
        <v>77</v>
      </c>
      <c r="Q3" t="s">
        <v>138</v>
      </c>
      <c r="R3" t="s">
        <v>199</v>
      </c>
      <c r="S3" t="s">
        <v>200</v>
      </c>
      <c r="T3">
        <v>16</v>
      </c>
      <c r="U3">
        <v>31</v>
      </c>
    </row>
    <row r="4" spans="1:21" x14ac:dyDescent="0.3">
      <c r="A4" t="s">
        <v>15</v>
      </c>
      <c r="B4" t="s">
        <v>16</v>
      </c>
      <c r="C4">
        <v>370</v>
      </c>
      <c r="D4" t="s">
        <v>78</v>
      </c>
      <c r="E4" t="s">
        <v>79</v>
      </c>
      <c r="F4" t="s">
        <v>80</v>
      </c>
      <c r="G4">
        <v>220</v>
      </c>
      <c r="H4">
        <v>73</v>
      </c>
      <c r="I4" t="s">
        <v>180</v>
      </c>
      <c r="J4" t="s">
        <v>81</v>
      </c>
      <c r="K4" t="s">
        <v>82</v>
      </c>
      <c r="L4" t="s">
        <v>84</v>
      </c>
      <c r="M4" s="3">
        <f>388/17</f>
        <v>22.823529411764707</v>
      </c>
      <c r="N4" t="s">
        <v>88</v>
      </c>
      <c r="O4" t="s">
        <v>83</v>
      </c>
      <c r="P4" t="s">
        <v>89</v>
      </c>
      <c r="Q4" t="s">
        <v>97</v>
      </c>
      <c r="R4" t="s">
        <v>201</v>
      </c>
      <c r="S4" t="s">
        <v>193</v>
      </c>
      <c r="T4">
        <v>25</v>
      </c>
      <c r="U4">
        <v>18</v>
      </c>
    </row>
    <row r="5" spans="1:21" x14ac:dyDescent="0.3">
      <c r="A5" t="s">
        <v>17</v>
      </c>
      <c r="B5" t="s">
        <v>18</v>
      </c>
      <c r="C5">
        <v>337</v>
      </c>
      <c r="D5" t="s">
        <v>90</v>
      </c>
      <c r="E5" t="s">
        <v>91</v>
      </c>
      <c r="F5" t="s">
        <v>92</v>
      </c>
      <c r="G5">
        <v>261</v>
      </c>
      <c r="H5">
        <v>100</v>
      </c>
      <c r="I5" t="s">
        <v>177</v>
      </c>
      <c r="J5" t="s">
        <v>93</v>
      </c>
      <c r="K5" t="s">
        <v>92</v>
      </c>
      <c r="L5" t="s">
        <v>94</v>
      </c>
      <c r="M5" s="3">
        <f>448/17</f>
        <v>26.352941176470587</v>
      </c>
      <c r="N5" t="s">
        <v>95</v>
      </c>
      <c r="O5" t="s">
        <v>86</v>
      </c>
      <c r="P5" t="s">
        <v>48</v>
      </c>
      <c r="Q5" t="s">
        <v>125</v>
      </c>
      <c r="R5" t="s">
        <v>202</v>
      </c>
      <c r="S5" t="s">
        <v>203</v>
      </c>
      <c r="T5">
        <v>29</v>
      </c>
      <c r="U5">
        <v>22</v>
      </c>
    </row>
    <row r="6" spans="1:21" x14ac:dyDescent="0.3">
      <c r="A6" t="s">
        <v>19</v>
      </c>
      <c r="B6" t="s">
        <v>20</v>
      </c>
      <c r="C6">
        <v>320</v>
      </c>
      <c r="D6" t="s">
        <v>90</v>
      </c>
      <c r="E6" t="s">
        <v>96</v>
      </c>
      <c r="F6" t="s">
        <v>97</v>
      </c>
      <c r="G6">
        <v>196</v>
      </c>
      <c r="H6">
        <v>65</v>
      </c>
      <c r="I6" t="s">
        <v>181</v>
      </c>
      <c r="J6" t="s">
        <v>65</v>
      </c>
      <c r="K6" t="s">
        <v>87</v>
      </c>
      <c r="L6" t="s">
        <v>94</v>
      </c>
      <c r="M6" s="3">
        <f>327/17</f>
        <v>19.235294117647058</v>
      </c>
      <c r="N6" t="s">
        <v>75</v>
      </c>
      <c r="O6" t="s">
        <v>98</v>
      </c>
      <c r="P6" t="s">
        <v>99</v>
      </c>
      <c r="Q6" t="s">
        <v>189</v>
      </c>
      <c r="R6" t="s">
        <v>204</v>
      </c>
      <c r="S6" t="s">
        <v>205</v>
      </c>
      <c r="T6">
        <v>10</v>
      </c>
      <c r="U6">
        <v>24</v>
      </c>
    </row>
    <row r="7" spans="1:21" x14ac:dyDescent="0.3">
      <c r="A7" t="s">
        <v>21</v>
      </c>
      <c r="B7" t="s">
        <v>22</v>
      </c>
      <c r="C7">
        <v>291</v>
      </c>
      <c r="D7" t="s">
        <v>100</v>
      </c>
      <c r="E7" t="s">
        <v>101</v>
      </c>
      <c r="F7" t="s">
        <v>85</v>
      </c>
      <c r="G7">
        <v>182</v>
      </c>
      <c r="H7">
        <v>47</v>
      </c>
      <c r="I7" t="s">
        <v>184</v>
      </c>
      <c r="J7" t="s">
        <v>102</v>
      </c>
      <c r="K7" t="s">
        <v>103</v>
      </c>
      <c r="L7" t="s">
        <v>104</v>
      </c>
      <c r="M7" s="3">
        <f>279/17</f>
        <v>16.411764705882351</v>
      </c>
      <c r="N7" t="s">
        <v>105</v>
      </c>
      <c r="O7" t="s">
        <v>106</v>
      </c>
      <c r="P7" t="s">
        <v>107</v>
      </c>
      <c r="Q7" t="s">
        <v>190</v>
      </c>
      <c r="R7" t="s">
        <v>206</v>
      </c>
      <c r="S7" t="s">
        <v>207</v>
      </c>
      <c r="T7">
        <v>13</v>
      </c>
      <c r="U7">
        <v>32</v>
      </c>
    </row>
    <row r="8" spans="1:21" x14ac:dyDescent="0.3">
      <c r="A8" t="s">
        <v>23</v>
      </c>
      <c r="B8" t="s">
        <v>25</v>
      </c>
      <c r="C8">
        <v>413</v>
      </c>
      <c r="D8" t="s">
        <v>110</v>
      </c>
      <c r="E8" t="s">
        <v>109</v>
      </c>
      <c r="F8" t="s">
        <v>80</v>
      </c>
      <c r="G8">
        <v>315</v>
      </c>
      <c r="H8">
        <v>116</v>
      </c>
      <c r="I8" t="s">
        <v>176</v>
      </c>
      <c r="J8" t="s">
        <v>108</v>
      </c>
      <c r="K8" t="s">
        <v>111</v>
      </c>
      <c r="L8" t="s">
        <v>49</v>
      </c>
      <c r="M8" s="3">
        <f>471/17</f>
        <v>27.705882352941178</v>
      </c>
      <c r="N8" t="s">
        <v>112</v>
      </c>
      <c r="O8" t="s">
        <v>113</v>
      </c>
      <c r="P8" t="s">
        <v>114</v>
      </c>
      <c r="Q8" t="s">
        <v>137</v>
      </c>
      <c r="R8" t="s">
        <v>208</v>
      </c>
      <c r="S8" t="s">
        <v>209</v>
      </c>
      <c r="T8">
        <v>38</v>
      </c>
      <c r="U8">
        <v>14</v>
      </c>
    </row>
    <row r="9" spans="1:21" x14ac:dyDescent="0.3">
      <c r="A9" t="s">
        <v>9</v>
      </c>
      <c r="B9" t="s">
        <v>26</v>
      </c>
      <c r="C9">
        <v>440</v>
      </c>
      <c r="D9" t="s">
        <v>115</v>
      </c>
      <c r="E9" t="s">
        <v>116</v>
      </c>
      <c r="F9" t="s">
        <v>117</v>
      </c>
      <c r="G9">
        <v>298</v>
      </c>
      <c r="H9">
        <v>105</v>
      </c>
      <c r="I9" t="s">
        <v>175</v>
      </c>
      <c r="J9" t="s">
        <v>108</v>
      </c>
      <c r="K9" t="s">
        <v>118</v>
      </c>
      <c r="L9" t="s">
        <v>113</v>
      </c>
      <c r="M9" s="3">
        <f>540/17</f>
        <v>31.764705882352942</v>
      </c>
      <c r="N9" t="s">
        <v>91</v>
      </c>
      <c r="O9" t="s">
        <v>121</v>
      </c>
      <c r="P9" t="s">
        <v>122</v>
      </c>
      <c r="Q9" t="s">
        <v>119</v>
      </c>
      <c r="R9" t="s">
        <v>47</v>
      </c>
      <c r="S9" t="s">
        <v>210</v>
      </c>
      <c r="T9">
        <v>38</v>
      </c>
      <c r="U9">
        <v>12</v>
      </c>
    </row>
    <row r="10" spans="1:21" x14ac:dyDescent="0.3">
      <c r="A10" t="s">
        <v>27</v>
      </c>
      <c r="B10" t="s">
        <v>28</v>
      </c>
      <c r="C10">
        <v>336</v>
      </c>
      <c r="D10" t="s">
        <v>123</v>
      </c>
      <c r="E10" t="s">
        <v>124</v>
      </c>
      <c r="F10" t="s">
        <v>125</v>
      </c>
      <c r="G10">
        <v>240</v>
      </c>
      <c r="H10">
        <v>78</v>
      </c>
      <c r="I10" t="s">
        <v>32</v>
      </c>
      <c r="J10" t="s">
        <v>126</v>
      </c>
      <c r="K10" t="s">
        <v>127</v>
      </c>
      <c r="L10" t="s">
        <v>113</v>
      </c>
      <c r="M10" s="3">
        <f>382/17</f>
        <v>22.470588235294116</v>
      </c>
      <c r="N10" t="s">
        <v>128</v>
      </c>
      <c r="O10" t="s">
        <v>129</v>
      </c>
      <c r="P10" t="s">
        <v>130</v>
      </c>
      <c r="Q10" t="s">
        <v>188</v>
      </c>
      <c r="R10" t="s">
        <v>211</v>
      </c>
      <c r="S10" t="s">
        <v>141</v>
      </c>
      <c r="T10">
        <v>24</v>
      </c>
      <c r="U10">
        <v>30</v>
      </c>
    </row>
    <row r="11" spans="1:21" x14ac:dyDescent="0.3">
      <c r="A11" t="s">
        <v>29</v>
      </c>
      <c r="B11" t="s">
        <v>30</v>
      </c>
      <c r="C11">
        <v>240</v>
      </c>
      <c r="D11" t="s">
        <v>131</v>
      </c>
      <c r="E11" t="s">
        <v>132</v>
      </c>
      <c r="F11" t="s">
        <v>71</v>
      </c>
      <c r="G11">
        <v>185</v>
      </c>
      <c r="H11">
        <v>61</v>
      </c>
      <c r="I11" t="s">
        <v>183</v>
      </c>
      <c r="J11" t="s">
        <v>133</v>
      </c>
      <c r="K11" t="s">
        <v>119</v>
      </c>
      <c r="L11" t="s">
        <v>120</v>
      </c>
      <c r="M11" s="3">
        <f>259/17</f>
        <v>15.235294117647058</v>
      </c>
      <c r="N11" t="s">
        <v>134</v>
      </c>
      <c r="O11" t="s">
        <v>113</v>
      </c>
      <c r="P11" t="s">
        <v>135</v>
      </c>
      <c r="Q11" t="s">
        <v>65</v>
      </c>
      <c r="R11" t="s">
        <v>177</v>
      </c>
      <c r="S11" t="s">
        <v>194</v>
      </c>
      <c r="T11">
        <v>20</v>
      </c>
      <c r="U11">
        <v>24</v>
      </c>
    </row>
    <row r="12" spans="1:21" x14ac:dyDescent="0.3">
      <c r="A12" t="s">
        <v>31</v>
      </c>
      <c r="B12" t="s">
        <v>33</v>
      </c>
      <c r="C12">
        <v>173</v>
      </c>
      <c r="D12" t="s">
        <v>136</v>
      </c>
      <c r="E12" s="1">
        <v>12</v>
      </c>
      <c r="F12" t="s">
        <v>137</v>
      </c>
      <c r="G12">
        <v>230</v>
      </c>
      <c r="H12">
        <v>75</v>
      </c>
      <c r="I12" t="s">
        <v>68</v>
      </c>
      <c r="J12" t="s">
        <v>138</v>
      </c>
      <c r="K12" t="s">
        <v>64</v>
      </c>
      <c r="L12" t="s">
        <v>139</v>
      </c>
      <c r="M12" s="3">
        <f>357/17</f>
        <v>21</v>
      </c>
      <c r="N12" t="s">
        <v>140</v>
      </c>
      <c r="O12" t="s">
        <v>141</v>
      </c>
      <c r="P12" t="s">
        <v>142</v>
      </c>
      <c r="Q12" t="s">
        <v>169</v>
      </c>
      <c r="R12" t="s">
        <v>212</v>
      </c>
      <c r="S12" t="s">
        <v>213</v>
      </c>
      <c r="T12">
        <v>21</v>
      </c>
      <c r="U12">
        <v>9</v>
      </c>
    </row>
    <row r="13" spans="1:21" x14ac:dyDescent="0.3">
      <c r="A13" t="s">
        <v>34</v>
      </c>
      <c r="B13" t="s">
        <v>35</v>
      </c>
      <c r="C13" s="2" t="s">
        <v>144</v>
      </c>
      <c r="D13" t="s">
        <v>145</v>
      </c>
      <c r="E13" t="s">
        <v>75</v>
      </c>
      <c r="F13" t="s">
        <v>92</v>
      </c>
      <c r="G13">
        <v>181</v>
      </c>
      <c r="H13">
        <v>45</v>
      </c>
      <c r="I13" t="s">
        <v>185</v>
      </c>
      <c r="J13" t="s">
        <v>72</v>
      </c>
      <c r="K13" t="s">
        <v>118</v>
      </c>
      <c r="L13" t="s">
        <v>143</v>
      </c>
      <c r="M13" s="3">
        <f>313/17</f>
        <v>18.411764705882351</v>
      </c>
      <c r="N13" t="s">
        <v>146</v>
      </c>
      <c r="O13" t="s">
        <v>147</v>
      </c>
      <c r="P13" t="s">
        <v>24</v>
      </c>
      <c r="Q13" t="s">
        <v>189</v>
      </c>
      <c r="R13" t="s">
        <v>214</v>
      </c>
      <c r="S13" t="s">
        <v>215</v>
      </c>
      <c r="T13">
        <v>13</v>
      </c>
      <c r="U13">
        <v>24</v>
      </c>
    </row>
    <row r="14" spans="1:21" x14ac:dyDescent="0.3">
      <c r="A14" t="s">
        <v>36</v>
      </c>
      <c r="B14" t="s">
        <v>37</v>
      </c>
      <c r="C14">
        <v>292</v>
      </c>
      <c r="D14" t="s">
        <v>151</v>
      </c>
      <c r="E14" t="s">
        <v>152</v>
      </c>
      <c r="F14" t="s">
        <v>64</v>
      </c>
      <c r="G14">
        <v>196</v>
      </c>
      <c r="H14">
        <v>68</v>
      </c>
      <c r="I14" t="s">
        <v>153</v>
      </c>
      <c r="J14" t="s">
        <v>150</v>
      </c>
      <c r="K14" t="s">
        <v>149</v>
      </c>
      <c r="L14" t="s">
        <v>143</v>
      </c>
      <c r="M14" s="3">
        <f>305/17</f>
        <v>17.941176470588236</v>
      </c>
      <c r="N14" s="1">
        <v>14</v>
      </c>
      <c r="O14" t="s">
        <v>98</v>
      </c>
      <c r="P14" t="s">
        <v>148</v>
      </c>
      <c r="Q14" t="s">
        <v>93</v>
      </c>
      <c r="R14" t="s">
        <v>216</v>
      </c>
      <c r="S14" t="s">
        <v>192</v>
      </c>
      <c r="T14">
        <v>16</v>
      </c>
      <c r="U14">
        <v>33</v>
      </c>
    </row>
    <row r="15" spans="1:21" x14ac:dyDescent="0.3">
      <c r="A15" t="s">
        <v>38</v>
      </c>
      <c r="B15" t="s">
        <v>39</v>
      </c>
      <c r="C15">
        <v>292</v>
      </c>
      <c r="D15" t="s">
        <v>69</v>
      </c>
      <c r="E15" t="s">
        <v>153</v>
      </c>
      <c r="F15" t="s">
        <v>73</v>
      </c>
      <c r="G15">
        <v>174</v>
      </c>
      <c r="H15">
        <v>60</v>
      </c>
      <c r="I15" t="s">
        <v>146</v>
      </c>
      <c r="J15" t="s">
        <v>154</v>
      </c>
      <c r="K15" t="s">
        <v>149</v>
      </c>
      <c r="L15" t="s">
        <v>74</v>
      </c>
      <c r="M15" s="3">
        <f>287/17</f>
        <v>16.882352941176471</v>
      </c>
      <c r="N15" t="s">
        <v>140</v>
      </c>
      <c r="O15" t="s">
        <v>113</v>
      </c>
      <c r="P15" t="s">
        <v>107</v>
      </c>
      <c r="Q15" t="s">
        <v>189</v>
      </c>
      <c r="R15" t="s">
        <v>47</v>
      </c>
      <c r="S15" t="s">
        <v>75</v>
      </c>
      <c r="T15">
        <v>15</v>
      </c>
      <c r="U15">
        <v>17</v>
      </c>
    </row>
    <row r="16" spans="1:21" x14ac:dyDescent="0.3">
      <c r="A16" t="s">
        <v>40</v>
      </c>
      <c r="B16" t="s">
        <v>41</v>
      </c>
      <c r="C16">
        <v>340</v>
      </c>
      <c r="D16" t="s">
        <v>155</v>
      </c>
      <c r="E16" t="s">
        <v>156</v>
      </c>
      <c r="F16" t="s">
        <v>157</v>
      </c>
      <c r="G16">
        <v>245</v>
      </c>
      <c r="H16">
        <v>73</v>
      </c>
      <c r="I16" t="s">
        <v>182</v>
      </c>
      <c r="J16" t="s">
        <v>154</v>
      </c>
      <c r="K16" t="s">
        <v>120</v>
      </c>
      <c r="L16" t="s">
        <v>98</v>
      </c>
      <c r="M16" s="3">
        <f>353/17</f>
        <v>20.764705882352942</v>
      </c>
      <c r="N16" t="s">
        <v>158</v>
      </c>
      <c r="O16" t="s">
        <v>113</v>
      </c>
      <c r="P16" t="s">
        <v>159</v>
      </c>
      <c r="Q16" t="s">
        <v>73</v>
      </c>
      <c r="R16" t="s">
        <v>176</v>
      </c>
      <c r="S16" t="s">
        <v>192</v>
      </c>
      <c r="T16">
        <v>19</v>
      </c>
      <c r="U16">
        <v>29</v>
      </c>
    </row>
    <row r="17" spans="1:21" x14ac:dyDescent="0.3">
      <c r="A17" t="s">
        <v>42</v>
      </c>
      <c r="B17" t="s">
        <v>43</v>
      </c>
      <c r="C17">
        <v>323</v>
      </c>
      <c r="D17" t="s">
        <v>161</v>
      </c>
      <c r="E17" t="s">
        <v>172</v>
      </c>
      <c r="F17" t="s">
        <v>173</v>
      </c>
      <c r="G17">
        <v>211</v>
      </c>
      <c r="H17">
        <v>53</v>
      </c>
      <c r="I17" t="s">
        <v>179</v>
      </c>
      <c r="J17" t="s">
        <v>154</v>
      </c>
      <c r="K17" t="s">
        <v>125</v>
      </c>
      <c r="L17" t="s">
        <v>129</v>
      </c>
      <c r="M17" s="3">
        <f>350/17</f>
        <v>20.588235294117649</v>
      </c>
      <c r="N17" t="s">
        <v>75</v>
      </c>
      <c r="O17" t="s">
        <v>174</v>
      </c>
      <c r="P17" t="s">
        <v>24</v>
      </c>
      <c r="Q17" t="s">
        <v>191</v>
      </c>
      <c r="R17" t="s">
        <v>217</v>
      </c>
      <c r="S17" t="s">
        <v>114</v>
      </c>
      <c r="T17">
        <v>19</v>
      </c>
      <c r="U17">
        <v>24</v>
      </c>
    </row>
    <row r="18" spans="1:21" x14ac:dyDescent="0.3">
      <c r="A18" t="s">
        <v>10</v>
      </c>
      <c r="B18" t="s">
        <v>44</v>
      </c>
      <c r="C18">
        <v>331</v>
      </c>
      <c r="D18" t="s">
        <v>161</v>
      </c>
      <c r="E18" t="s">
        <v>160</v>
      </c>
      <c r="F18" t="s">
        <v>125</v>
      </c>
      <c r="G18">
        <v>217</v>
      </c>
      <c r="H18">
        <v>67</v>
      </c>
      <c r="I18" t="s">
        <v>178</v>
      </c>
      <c r="J18" t="s">
        <v>162</v>
      </c>
      <c r="K18" t="s">
        <v>163</v>
      </c>
      <c r="L18" t="s">
        <v>117</v>
      </c>
      <c r="M18" s="3">
        <f>392/17</f>
        <v>23.058823529411764</v>
      </c>
      <c r="N18" t="s">
        <v>95</v>
      </c>
      <c r="O18" t="s">
        <v>164</v>
      </c>
      <c r="P18" t="s">
        <v>165</v>
      </c>
      <c r="Q18" t="s">
        <v>125</v>
      </c>
      <c r="R18" t="s">
        <v>218</v>
      </c>
      <c r="S18" t="s">
        <v>219</v>
      </c>
      <c r="T18">
        <v>19</v>
      </c>
      <c r="U18">
        <v>20</v>
      </c>
    </row>
    <row r="19" spans="1:21" x14ac:dyDescent="0.3">
      <c r="A19" t="s">
        <v>45</v>
      </c>
      <c r="B19" t="s">
        <v>46</v>
      </c>
      <c r="C19">
        <v>360</v>
      </c>
      <c r="D19" t="s">
        <v>171</v>
      </c>
      <c r="E19" t="s">
        <v>112</v>
      </c>
      <c r="F19" t="s">
        <v>82</v>
      </c>
      <c r="G19">
        <v>276</v>
      </c>
      <c r="H19">
        <v>103</v>
      </c>
      <c r="I19" t="s">
        <v>60</v>
      </c>
      <c r="J19" t="s">
        <v>168</v>
      </c>
      <c r="K19" t="s">
        <v>169</v>
      </c>
      <c r="L19" t="s">
        <v>170</v>
      </c>
      <c r="M19" s="3">
        <f>416/17</f>
        <v>24.470588235294116</v>
      </c>
      <c r="N19" t="s">
        <v>166</v>
      </c>
      <c r="O19" t="s">
        <v>121</v>
      </c>
      <c r="P19" t="s">
        <v>167</v>
      </c>
      <c r="Q19" t="s">
        <v>119</v>
      </c>
      <c r="R19" t="s">
        <v>220</v>
      </c>
      <c r="S19" t="s">
        <v>221</v>
      </c>
      <c r="T19">
        <v>33</v>
      </c>
      <c r="U1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Semih Kiraz</dc:creator>
  <cp:lastModifiedBy>Semih Kiraz</cp:lastModifiedBy>
  <dcterms:created xsi:type="dcterms:W3CDTF">2025-12-29T23:53:17Z</dcterms:created>
  <dcterms:modified xsi:type="dcterms:W3CDTF">2026-01-15T17:23:51Z</dcterms:modified>
</cp:coreProperties>
</file>